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akis\Desktop\"/>
    </mc:Choice>
  </mc:AlternateContent>
  <bookViews>
    <workbookView xWindow="0" yWindow="0" windowWidth="28800" windowHeight="12300"/>
  </bookViews>
  <sheets>
    <sheet name="Sheet1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2" i="1" l="1"/>
  <c r="H2" i="1" s="1"/>
  <c r="G3" i="1"/>
  <c r="H3" i="1" s="1"/>
  <c r="G4" i="1"/>
  <c r="H4" i="1" s="1"/>
  <c r="G5" i="1"/>
  <c r="H5" i="1" s="1"/>
  <c r="G6" i="1"/>
  <c r="H6" i="1" s="1"/>
  <c r="G7" i="1"/>
  <c r="H7" i="1" s="1"/>
  <c r="G8" i="1"/>
  <c r="H8" i="1" s="1"/>
  <c r="G9" i="1"/>
  <c r="H9" i="1" s="1"/>
  <c r="D3" i="1"/>
  <c r="D4" i="1"/>
  <c r="D5" i="1"/>
  <c r="D6" i="1"/>
  <c r="D7" i="1"/>
  <c r="D8" i="1"/>
  <c r="D9" i="1"/>
  <c r="D2" i="1"/>
  <c r="L11" i="1" l="1"/>
  <c r="H11" i="1" l="1"/>
  <c r="D11" i="1"/>
  <c r="I11" i="1" l="1"/>
</calcChain>
</file>

<file path=xl/sharedStrings.xml><?xml version="1.0" encoding="utf-8"?>
<sst xmlns="http://schemas.openxmlformats.org/spreadsheetml/2006/main" count="35" uniqueCount="28">
  <si>
    <t>ΑΓΟΡΑ</t>
  </si>
  <si>
    <t>ΤΕΜΑΧΙΑ</t>
  </si>
  <si>
    <t>XRP</t>
  </si>
  <si>
    <t>AVAX</t>
  </si>
  <si>
    <t>ΕΠΕΝΔΥΣΗ</t>
  </si>
  <si>
    <t>ΤΡΕΧΟΥΣΑ</t>
  </si>
  <si>
    <t>ΔΙΑΦΟΡΑ</t>
  </si>
  <si>
    <t>SOLANA</t>
  </si>
  <si>
    <t>LITECOIN</t>
  </si>
  <si>
    <t>ETHEREUM</t>
  </si>
  <si>
    <t>BITCOIN</t>
  </si>
  <si>
    <t>CARDANO</t>
  </si>
  <si>
    <t>POLKADOT</t>
  </si>
  <si>
    <t>SELL BTN</t>
  </si>
  <si>
    <t>STOP BTN</t>
  </si>
  <si>
    <t>START BTN</t>
  </si>
  <si>
    <t>STATE</t>
  </si>
  <si>
    <t>SCALP TARGET</t>
  </si>
  <si>
    <t>ENABLE STOP LOSS</t>
  </si>
  <si>
    <t>STOP LOSS</t>
  </si>
  <si>
    <t>ENABLE TRAILING PROFIT</t>
  </si>
  <si>
    <t>TRAILING PROFIT THRESHOLD</t>
  </si>
  <si>
    <t>MINIMUM PROFIT THRESHOLD</t>
  </si>
  <si>
    <t>DAILY PROFIT TARGET</t>
  </si>
  <si>
    <t>Started</t>
  </si>
  <si>
    <r>
      <t xml:space="preserve">RSI </t>
    </r>
    <r>
      <rPr>
        <b/>
        <sz val="9"/>
        <color theme="1"/>
        <rFont val="Calibri"/>
        <family val="2"/>
        <charset val="161"/>
        <scheme val="minor"/>
      </rPr>
      <t>THRESHOLD</t>
    </r>
  </si>
  <si>
    <t>ΚΕΡΔΟΣ (+fees)</t>
  </si>
  <si>
    <t>COIN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</si>
</sst>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#,##0.00\ &quot;€&quot;"/>
    <numFmt numFmtId="165" formatCode="#,##0.000\ &quot;€&quot;"/>
    <numFmt numFmtId="166" formatCode="[$-F400]h:mm:ss\ AM/PM"/>
    <numFmt numFmtId="167" formatCode="#,##0.0000\ &quot;€&quot;"/>
  </numFmts>
  <fonts count="8" x14ac:knownFonts="1">
    <font>
      <sz val="11"/>
      <color theme="1"/>
      <name val="Calibri"/>
      <family val="2"/>
      <charset val="161"/>
      <scheme val="minor"/>
    </font>
    <font>
      <b/>
      <sz val="11"/>
      <color theme="1"/>
      <name val="Calibri"/>
      <family val="2"/>
      <charset val="161"/>
      <scheme val="minor"/>
    </font>
    <font>
      <b/>
      <sz val="13"/>
      <color theme="1"/>
      <name val="Calibri"/>
      <family val="2"/>
      <charset val="161"/>
      <scheme val="minor"/>
    </font>
    <font>
      <sz val="11"/>
      <color theme="1"/>
      <name val="Calibri"/>
      <family val="2"/>
      <charset val="161"/>
      <scheme val="minor"/>
    </font>
    <font>
      <sz val="11"/>
      <color rgb="FF000000"/>
      <name val="Calibri"/>
      <family val="2"/>
      <charset val="161"/>
    </font>
    <font>
      <sz val="8"/>
      <color theme="1"/>
      <name val="Calibri"/>
      <family val="2"/>
      <charset val="161"/>
      <scheme val="minor"/>
    </font>
    <font>
      <b/>
      <sz val="9"/>
      <color theme="1"/>
      <name val="Calibri"/>
      <family val="2"/>
      <charset val="161"/>
      <scheme val="minor"/>
    </font>
    <font>
      <sz val="11"/>
      <color rgb="FF3F3F76"/>
      <name val="Calibri"/>
      <family val="2"/>
      <charset val="161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C99"/>
      </patternFill>
    </fill>
    <fill>
      <patternFill patternType="solid">
        <fgColor rgb="FFFFC7CE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3">
    <xf numFmtId="0" fontId="0" fillId="0" borderId="0"/>
    <xf numFmtId="9" fontId="3" fillId="0" borderId="0" applyFont="0" applyFill="0" applyBorder="0" applyAlignment="0" applyProtection="0"/>
    <xf numFmtId="0" fontId="7" fillId="5" borderId="6" applyNumberFormat="0" applyAlignment="0" applyProtection="0"/>
  </cellStyleXfs>
  <cellXfs count="51">
    <xf numFmtId="0" fontId="0" fillId="0" borderId="0" xfId="0"/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1" xfId="0" applyBorder="1"/>
    <xf numFmtId="164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164" fontId="0" fillId="0" borderId="0" xfId="0" applyNumberFormat="1" applyFill="1" applyAlignment="1">
      <alignment horizontal="center"/>
    </xf>
    <xf numFmtId="0" fontId="0" fillId="0" borderId="2" xfId="0" applyBorder="1" applyAlignment="1">
      <alignment horizontal="center"/>
    </xf>
    <xf numFmtId="164" fontId="0" fillId="0" borderId="2" xfId="0" applyNumberFormat="1" applyBorder="1" applyAlignment="1">
      <alignment horizontal="center"/>
    </xf>
    <xf numFmtId="164" fontId="0" fillId="0" borderId="2" xfId="0" applyNumberFormat="1" applyFill="1" applyBorder="1" applyAlignment="1">
      <alignment horizontal="center"/>
    </xf>
    <xf numFmtId="0" fontId="1" fillId="2" borderId="1" xfId="0" applyFont="1" applyFill="1" applyBorder="1" applyAlignment="1">
      <alignment horizontal="center" vertical="center"/>
    </xf>
    <xf numFmtId="164" fontId="1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3" borderId="1" xfId="0" applyFill="1" applyBorder="1" applyAlignment="1">
      <alignment horizontal="center" vertical="center"/>
    </xf>
    <xf numFmtId="164" fontId="0" fillId="3" borderId="1" xfId="0" applyNumberFormat="1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164" fontId="0" fillId="3" borderId="4" xfId="0" applyNumberFormat="1" applyFill="1" applyBorder="1" applyAlignment="1">
      <alignment horizontal="center" vertical="center"/>
    </xf>
    <xf numFmtId="164" fontId="2" fillId="0" borderId="1" xfId="0" applyNumberFormat="1" applyFont="1" applyBorder="1" applyAlignment="1">
      <alignment horizontal="center" vertical="center"/>
    </xf>
    <xf numFmtId="164" fontId="2" fillId="0" borderId="1" xfId="0" applyNumberFormat="1" applyFont="1" applyFill="1" applyBorder="1" applyAlignment="1">
      <alignment horizontal="center" vertical="center"/>
    </xf>
    <xf numFmtId="164" fontId="0" fillId="0" borderId="3" xfId="0" applyNumberFormat="1" applyBorder="1" applyAlignment="1">
      <alignment horizontal="center"/>
    </xf>
    <xf numFmtId="9" fontId="2" fillId="0" borderId="1" xfId="1" applyFont="1" applyBorder="1" applyAlignment="1">
      <alignment horizontal="center" vertical="center"/>
    </xf>
    <xf numFmtId="165" fontId="0" fillId="3" borderId="1" xfId="0" applyNumberFormat="1" applyFill="1" applyBorder="1" applyAlignment="1">
      <alignment horizontal="center" vertical="center"/>
    </xf>
    <xf numFmtId="0" fontId="0" fillId="0" borderId="1" xfId="0" applyBorder="1" applyAlignment="1">
      <alignment horizontal="center" wrapText="1"/>
    </xf>
    <xf numFmtId="0" fontId="2" fillId="0" borderId="1" xfId="0" applyFont="1" applyBorder="1" applyAlignment="1">
      <alignment horizontal="center" vertical="center"/>
    </xf>
    <xf numFmtId="21" fontId="0" fillId="0" borderId="0" xfId="0" applyNumberFormat="1" applyAlignment="1">
      <alignment horizontal="center" vertical="center" wrapText="1"/>
    </xf>
    <xf numFmtId="0" fontId="0" fillId="0" borderId="0" xfId="0" applyBorder="1"/>
    <xf numFmtId="0" fontId="1" fillId="2" borderId="5" xfId="0" applyFont="1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vertical="center"/>
    </xf>
    <xf numFmtId="0" fontId="1" fillId="2" borderId="1" xfId="0" applyFont="1" applyFill="1" applyBorder="1" applyAlignment="1">
      <alignment horizontal="center" vertical="center" wrapText="1"/>
    </xf>
    <xf numFmtId="0" fontId="5" fillId="0" borderId="0" xfId="0" applyFont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164" fontId="0" fillId="3" borderId="3" xfId="0" applyNumberFormat="1" applyFill="1" applyBorder="1" applyAlignment="1">
      <alignment horizontal="center" vertical="center"/>
    </xf>
    <xf numFmtId="165" fontId="0" fillId="3" borderId="3" xfId="0" applyNumberFormat="1" applyFill="1" applyBorder="1" applyAlignment="1">
      <alignment horizontal="center" vertical="center"/>
    </xf>
    <xf numFmtId="164" fontId="0" fillId="4" borderId="3" xfId="0" applyNumberFormat="1" applyFill="1" applyBorder="1" applyAlignment="1">
      <alignment horizontal="center" vertical="center"/>
    </xf>
    <xf numFmtId="164" fontId="1" fillId="2" borderId="1" xfId="0" applyNumberFormat="1" applyFont="1" applyFill="1" applyBorder="1" applyAlignment="1">
      <alignment horizontal="center" vertical="center" wrapText="1"/>
    </xf>
    <xf numFmtId="166" fontId="0" fillId="0" borderId="0" xfId="0" applyNumberFormat="1" applyAlignment="1">
      <alignment horizontal="center"/>
    </xf>
    <xf numFmtId="0" fontId="0" fillId="3" borderId="1" xfId="0" applyFill="1" applyBorder="1" applyAlignment="1" applyProtection="1">
      <alignment vertical="center"/>
      <protection locked="0"/>
    </xf>
    <xf numFmtId="0" fontId="0" fillId="3" borderId="5" xfId="0" applyFill="1" applyBorder="1" applyAlignment="1" applyProtection="1">
      <alignment vertical="center"/>
      <protection locked="0"/>
    </xf>
    <xf numFmtId="0" fontId="0" fillId="0" borderId="0" xfId="0" applyBorder="1" applyProtection="1">
      <protection locked="0"/>
    </xf>
    <xf numFmtId="0" fontId="0" fillId="0" borderId="0" xfId="0" applyProtection="1">
      <protection locked="0"/>
    </xf>
    <xf numFmtId="166" fontId="0" fillId="0" borderId="0" xfId="0" applyNumberFormat="1" applyFont="1" applyAlignment="1">
      <alignment horizontal="center"/>
    </xf>
    <xf numFmtId="0" fontId="0" fillId="6" borderId="1" xfId="0" applyFill="1" applyBorder="1" applyAlignment="1">
      <alignment horizontal="center" vertical="center"/>
    </xf>
    <xf numFmtId="164" fontId="0" fillId="6" borderId="3" xfId="0" applyNumberFormat="1" applyFill="1" applyBorder="1" applyAlignment="1">
      <alignment horizontal="center" vertical="center"/>
    </xf>
    <xf numFmtId="0" fontId="0" fillId="6" borderId="1" xfId="0" applyFill="1" applyBorder="1" applyAlignment="1" applyProtection="1">
      <alignment vertical="center"/>
      <protection locked="0"/>
    </xf>
    <xf numFmtId="0" fontId="0" fillId="6" borderId="5" xfId="0" applyFill="1" applyBorder="1" applyAlignment="1" applyProtection="1">
      <alignment vertical="center"/>
      <protection locked="0"/>
    </xf>
    <xf numFmtId="167" fontId="0" fillId="6" borderId="1" xfId="0" applyNumberFormat="1" applyFill="1" applyBorder="1" applyAlignment="1">
      <alignment horizontal="center" vertical="center"/>
    </xf>
    <xf numFmtId="165" fontId="0" fillId="6" borderId="3" xfId="0" applyNumberFormat="1" applyFill="1" applyBorder="1" applyAlignment="1">
      <alignment horizontal="center" vertical="center"/>
    </xf>
    <xf numFmtId="0" fontId="7" fillId="5" borderId="1" xfId="2" applyBorder="1" applyAlignment="1">
      <alignment horizontal="center" vertical="center"/>
    </xf>
    <xf numFmtId="0" fontId="7" fillId="0" borderId="1" xfId="2" applyFill="1" applyBorder="1" applyAlignment="1">
      <alignment horizontal="center" vertical="center"/>
    </xf>
  </cellXfs>
  <cellStyles count="3">
    <cellStyle name="Input" xfId="2" builtinId="20"/>
    <cellStyle name="Normal" xfId="0" builtinId="0"/>
    <cellStyle name="Percent" xfId="1" builtinId="5"/>
  </cellStyles>
  <dxfs count="1">
    <dxf>
      <font>
        <b/>
        <i val="0"/>
        <strike val="0"/>
        <color auto="1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66675</xdr:colOff>
          <xdr:row>1</xdr:row>
          <xdr:rowOff>28575</xdr:rowOff>
        </xdr:from>
        <xdr:to>
          <xdr:col>8</xdr:col>
          <xdr:colOff>876300</xdr:colOff>
          <xdr:row>1</xdr:row>
          <xdr:rowOff>323850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l-G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SELL NOW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76200</xdr:colOff>
          <xdr:row>2</xdr:row>
          <xdr:rowOff>38100</xdr:rowOff>
        </xdr:from>
        <xdr:to>
          <xdr:col>8</xdr:col>
          <xdr:colOff>885825</xdr:colOff>
          <xdr:row>2</xdr:row>
          <xdr:rowOff>333375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l-G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SELL NOW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76200</xdr:colOff>
          <xdr:row>3</xdr:row>
          <xdr:rowOff>28575</xdr:rowOff>
        </xdr:from>
        <xdr:to>
          <xdr:col>8</xdr:col>
          <xdr:colOff>885825</xdr:colOff>
          <xdr:row>3</xdr:row>
          <xdr:rowOff>323850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l-G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SELL NOW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76200</xdr:colOff>
          <xdr:row>4</xdr:row>
          <xdr:rowOff>28575</xdr:rowOff>
        </xdr:from>
        <xdr:to>
          <xdr:col>8</xdr:col>
          <xdr:colOff>885825</xdr:colOff>
          <xdr:row>4</xdr:row>
          <xdr:rowOff>323850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l-G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SELL NOW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76200</xdr:colOff>
          <xdr:row>5</xdr:row>
          <xdr:rowOff>38100</xdr:rowOff>
        </xdr:from>
        <xdr:to>
          <xdr:col>8</xdr:col>
          <xdr:colOff>885825</xdr:colOff>
          <xdr:row>5</xdr:row>
          <xdr:rowOff>333375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l-G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SELL NOW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76200</xdr:colOff>
          <xdr:row>6</xdr:row>
          <xdr:rowOff>38100</xdr:rowOff>
        </xdr:from>
        <xdr:to>
          <xdr:col>8</xdr:col>
          <xdr:colOff>885825</xdr:colOff>
          <xdr:row>6</xdr:row>
          <xdr:rowOff>333375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l-G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SELL NOW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76200</xdr:colOff>
          <xdr:row>7</xdr:row>
          <xdr:rowOff>38100</xdr:rowOff>
        </xdr:from>
        <xdr:to>
          <xdr:col>8</xdr:col>
          <xdr:colOff>885825</xdr:colOff>
          <xdr:row>7</xdr:row>
          <xdr:rowOff>333375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l-G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SELL NOW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66675</xdr:colOff>
          <xdr:row>8</xdr:row>
          <xdr:rowOff>28575</xdr:rowOff>
        </xdr:from>
        <xdr:to>
          <xdr:col>8</xdr:col>
          <xdr:colOff>876300</xdr:colOff>
          <xdr:row>8</xdr:row>
          <xdr:rowOff>323850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l-G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SELL NOW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142875</xdr:colOff>
          <xdr:row>1</xdr:row>
          <xdr:rowOff>47625</xdr:rowOff>
        </xdr:from>
        <xdr:to>
          <xdr:col>9</xdr:col>
          <xdr:colOff>1009650</xdr:colOff>
          <xdr:row>1</xdr:row>
          <xdr:rowOff>342900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l-G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Stop Bot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152400</xdr:colOff>
          <xdr:row>2</xdr:row>
          <xdr:rowOff>38100</xdr:rowOff>
        </xdr:from>
        <xdr:to>
          <xdr:col>9</xdr:col>
          <xdr:colOff>1019175</xdr:colOff>
          <xdr:row>2</xdr:row>
          <xdr:rowOff>333375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l-G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Stop Bot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152400</xdr:colOff>
          <xdr:row>3</xdr:row>
          <xdr:rowOff>38100</xdr:rowOff>
        </xdr:from>
        <xdr:to>
          <xdr:col>9</xdr:col>
          <xdr:colOff>1019175</xdr:colOff>
          <xdr:row>3</xdr:row>
          <xdr:rowOff>333375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l-G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Stop Bot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152400</xdr:colOff>
          <xdr:row>4</xdr:row>
          <xdr:rowOff>28575</xdr:rowOff>
        </xdr:from>
        <xdr:to>
          <xdr:col>9</xdr:col>
          <xdr:colOff>1019175</xdr:colOff>
          <xdr:row>4</xdr:row>
          <xdr:rowOff>323850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l-G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Stop Bot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152400</xdr:colOff>
          <xdr:row>5</xdr:row>
          <xdr:rowOff>38100</xdr:rowOff>
        </xdr:from>
        <xdr:to>
          <xdr:col>9</xdr:col>
          <xdr:colOff>1019175</xdr:colOff>
          <xdr:row>5</xdr:row>
          <xdr:rowOff>333375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l-G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Stop Bot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161925</xdr:colOff>
          <xdr:row>6</xdr:row>
          <xdr:rowOff>28575</xdr:rowOff>
        </xdr:from>
        <xdr:to>
          <xdr:col>9</xdr:col>
          <xdr:colOff>1028700</xdr:colOff>
          <xdr:row>6</xdr:row>
          <xdr:rowOff>323850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l-G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Stop Bot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161925</xdr:colOff>
          <xdr:row>7</xdr:row>
          <xdr:rowOff>38100</xdr:rowOff>
        </xdr:from>
        <xdr:to>
          <xdr:col>9</xdr:col>
          <xdr:colOff>1028700</xdr:colOff>
          <xdr:row>7</xdr:row>
          <xdr:rowOff>333375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l-G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Stop Bot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171450</xdr:colOff>
          <xdr:row>8</xdr:row>
          <xdr:rowOff>38100</xdr:rowOff>
        </xdr:from>
        <xdr:to>
          <xdr:col>9</xdr:col>
          <xdr:colOff>1038225</xdr:colOff>
          <xdr:row>8</xdr:row>
          <xdr:rowOff>333375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l-G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Stop Bot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2</xdr:row>
          <xdr:rowOff>38100</xdr:rowOff>
        </xdr:from>
        <xdr:to>
          <xdr:col>10</xdr:col>
          <xdr:colOff>942975</xdr:colOff>
          <xdr:row>2</xdr:row>
          <xdr:rowOff>333375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l-G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 Bot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1</xdr:row>
          <xdr:rowOff>38100</xdr:rowOff>
        </xdr:from>
        <xdr:to>
          <xdr:col>10</xdr:col>
          <xdr:colOff>942975</xdr:colOff>
          <xdr:row>1</xdr:row>
          <xdr:rowOff>333375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l-G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 Bot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85725</xdr:colOff>
          <xdr:row>3</xdr:row>
          <xdr:rowOff>28575</xdr:rowOff>
        </xdr:from>
        <xdr:to>
          <xdr:col>10</xdr:col>
          <xdr:colOff>952500</xdr:colOff>
          <xdr:row>3</xdr:row>
          <xdr:rowOff>323850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l-G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 Bot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95250</xdr:colOff>
          <xdr:row>5</xdr:row>
          <xdr:rowOff>28575</xdr:rowOff>
        </xdr:from>
        <xdr:to>
          <xdr:col>10</xdr:col>
          <xdr:colOff>962025</xdr:colOff>
          <xdr:row>5</xdr:row>
          <xdr:rowOff>323850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l-G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 Bot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104775</xdr:colOff>
          <xdr:row>6</xdr:row>
          <xdr:rowOff>28575</xdr:rowOff>
        </xdr:from>
        <xdr:to>
          <xdr:col>10</xdr:col>
          <xdr:colOff>971550</xdr:colOff>
          <xdr:row>6</xdr:row>
          <xdr:rowOff>323850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l-G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 Bot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95250</xdr:colOff>
          <xdr:row>4</xdr:row>
          <xdr:rowOff>28575</xdr:rowOff>
        </xdr:from>
        <xdr:to>
          <xdr:col>10</xdr:col>
          <xdr:colOff>962025</xdr:colOff>
          <xdr:row>4</xdr:row>
          <xdr:rowOff>323850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l-G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 Bot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114300</xdr:colOff>
          <xdr:row>7</xdr:row>
          <xdr:rowOff>28575</xdr:rowOff>
        </xdr:from>
        <xdr:to>
          <xdr:col>10</xdr:col>
          <xdr:colOff>981075</xdr:colOff>
          <xdr:row>7</xdr:row>
          <xdr:rowOff>323850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l-G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 Bot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123825</xdr:colOff>
          <xdr:row>8</xdr:row>
          <xdr:rowOff>38100</xdr:rowOff>
        </xdr:from>
        <xdr:to>
          <xdr:col>10</xdr:col>
          <xdr:colOff>990600</xdr:colOff>
          <xdr:row>8</xdr:row>
          <xdr:rowOff>333375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l-G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 Bot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87476</xdr:colOff>
      <xdr:row>14</xdr:row>
      <xdr:rowOff>233265</xdr:rowOff>
    </xdr:from>
    <xdr:to>
      <xdr:col>10</xdr:col>
      <xdr:colOff>379056</xdr:colOff>
      <xdr:row>15</xdr:row>
      <xdr:rowOff>252704</xdr:rowOff>
    </xdr:to>
    <xdr:sp macro="[0]!ToggleAutoUpdate" textlink="">
      <xdr:nvSpPr>
        <xdr:cNvPr id="2" name="Rounded Rectangle 1"/>
        <xdr:cNvSpPr/>
      </xdr:nvSpPr>
      <xdr:spPr>
        <a:xfrm>
          <a:off x="5229032" y="5637245"/>
          <a:ext cx="3333748" cy="379056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1300" b="1"/>
            <a:t>Ενεργοποίηση Αυτόματης Ενημέρωσης</a:t>
          </a:r>
        </a:p>
      </xdr:txBody>
    </xdr:sp>
    <xdr:clientData/>
  </xdr:twoCellAnchor>
  <xdr:twoCellAnchor>
    <xdr:from>
      <xdr:col>9</xdr:col>
      <xdr:colOff>155509</xdr:colOff>
      <xdr:row>13</xdr:row>
      <xdr:rowOff>126352</xdr:rowOff>
    </xdr:from>
    <xdr:to>
      <xdr:col>10</xdr:col>
      <xdr:colOff>359617</xdr:colOff>
      <xdr:row>14</xdr:row>
      <xdr:rowOff>116632</xdr:rowOff>
    </xdr:to>
    <xdr:sp macro="[0]!UpdateCryptoData" textlink="">
      <xdr:nvSpPr>
        <xdr:cNvPr id="6" name="Rounded Rectangle 5"/>
        <xdr:cNvSpPr/>
      </xdr:nvSpPr>
      <xdr:spPr>
        <a:xfrm>
          <a:off x="7153468" y="5170714"/>
          <a:ext cx="1389873" cy="349898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1100" b="1"/>
            <a:t>Ενημέρωση</a:t>
          </a:r>
          <a:r>
            <a:rPr lang="el-GR" sz="1100" b="1" baseline="0"/>
            <a:t> Τιμών</a:t>
          </a:r>
          <a:endParaRPr lang="el-GR" sz="1100" b="1"/>
        </a:p>
      </xdr:txBody>
    </xdr:sp>
    <xdr:clientData/>
  </xdr:twoCellAnchor>
  <xdr:twoCellAnchor>
    <xdr:from>
      <xdr:col>16</xdr:col>
      <xdr:colOff>213826</xdr:colOff>
      <xdr:row>11</xdr:row>
      <xdr:rowOff>252703</xdr:rowOff>
    </xdr:from>
    <xdr:to>
      <xdr:col>19</xdr:col>
      <xdr:colOff>826148</xdr:colOff>
      <xdr:row>13</xdr:row>
      <xdr:rowOff>359617</xdr:rowOff>
    </xdr:to>
    <xdr:grpSp>
      <xdr:nvGrpSpPr>
        <xdr:cNvPr id="10" name="Group 9"/>
        <xdr:cNvGrpSpPr/>
      </xdr:nvGrpSpPr>
      <xdr:grpSpPr>
        <a:xfrm>
          <a:off x="14131989" y="4577831"/>
          <a:ext cx="3286126" cy="826148"/>
          <a:chOff x="14724872" y="4577831"/>
          <a:chExt cx="2935256" cy="826148"/>
        </a:xfrm>
      </xdr:grpSpPr>
      <xdr:sp macro="[0]!ToggleAutoSell" textlink="">
        <xdr:nvSpPr>
          <xdr:cNvPr id="5" name="Rounded Rectangle 4"/>
          <xdr:cNvSpPr/>
        </xdr:nvSpPr>
        <xdr:spPr>
          <a:xfrm>
            <a:off x="14724872" y="4577831"/>
            <a:ext cx="2935256" cy="826148"/>
          </a:xfrm>
          <a:prstGeom prst="roundRect">
            <a:avLst/>
          </a:prstGeom>
          <a:solidFill>
            <a:srgbClr val="FF0000"/>
          </a:solidFill>
          <a:ln>
            <a:noFill/>
          </a:ln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l-GR" sz="1300" b="1" cap="none" spc="0">
                <a:ln w="0"/>
                <a:solidFill>
                  <a:schemeClr val="bg1">
                    <a:lumMod val="95000"/>
                  </a:schemeClr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Ενεργοποίηση Αυτόματης Πώλησης</a:t>
            </a:r>
          </a:p>
        </xdr:txBody>
      </xdr:sp>
      <xdr:sp macro="" textlink="">
        <xdr:nvSpPr>
          <xdr:cNvPr id="9" name="StopIcon"/>
          <xdr:cNvSpPr/>
        </xdr:nvSpPr>
        <xdr:spPr>
          <a:xfrm>
            <a:off x="17269350" y="4859701"/>
            <a:ext cx="262422" cy="276478"/>
          </a:xfrm>
          <a:prstGeom prst="mathMultiply">
            <a:avLst/>
          </a:prstGeom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l-GR" sz="1100"/>
          </a:p>
        </xdr:txBody>
      </xdr:sp>
    </xdr:grpSp>
    <xdr:clientData/>
  </xdr:twoCellAnchor>
  <xdr:twoCellAnchor>
    <xdr:from>
      <xdr:col>10</xdr:col>
      <xdr:colOff>58317</xdr:colOff>
      <xdr:row>14</xdr:row>
      <xdr:rowOff>291581</xdr:rowOff>
    </xdr:from>
    <xdr:to>
      <xdr:col>10</xdr:col>
      <xdr:colOff>320739</xdr:colOff>
      <xdr:row>15</xdr:row>
      <xdr:rowOff>208442</xdr:rowOff>
    </xdr:to>
    <xdr:sp macro="" textlink="">
      <xdr:nvSpPr>
        <xdr:cNvPr id="38" name="StopIcon2"/>
        <xdr:cNvSpPr/>
      </xdr:nvSpPr>
      <xdr:spPr>
        <a:xfrm>
          <a:off x="8242041" y="5695561"/>
          <a:ext cx="262422" cy="276478"/>
        </a:xfrm>
        <a:prstGeom prst="mathMultiply">
          <a:avLst/>
        </a:prstGeom>
        <a:ln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l-GR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U19"/>
  <sheetViews>
    <sheetView tabSelected="1" zoomScale="98" zoomScaleNormal="98" workbookViewId="0">
      <selection activeCell="F15" sqref="F15"/>
    </sheetView>
  </sheetViews>
  <sheetFormatPr defaultRowHeight="28.5" customHeight="1" x14ac:dyDescent="0.25"/>
  <cols>
    <col min="1" max="1" width="12.42578125" style="1" customWidth="1"/>
    <col min="2" max="2" width="13.28515625" style="2" customWidth="1"/>
    <col min="3" max="3" width="8.5703125" style="1" customWidth="1"/>
    <col min="4" max="4" width="15.140625" style="2" customWidth="1"/>
    <col min="5" max="5" width="2.85546875" style="1" customWidth="1"/>
    <col min="6" max="6" width="13.28515625" style="6" customWidth="1"/>
    <col min="7" max="7" width="11.7109375" style="2" customWidth="1"/>
    <col min="8" max="8" width="14" style="2" customWidth="1"/>
    <col min="9" max="9" width="13.85546875" customWidth="1"/>
    <col min="10" max="10" width="17.7109375" customWidth="1"/>
    <col min="11" max="11" width="16.7109375" customWidth="1"/>
    <col min="12" max="12" width="17.5703125" style="1" customWidth="1"/>
    <col min="13" max="13" width="14.5703125" customWidth="1"/>
    <col min="14" max="14" width="10.7109375" customWidth="1"/>
    <col min="15" max="15" width="14.85546875" customWidth="1"/>
    <col min="16" max="16" width="11.28515625" customWidth="1"/>
    <col min="17" max="17" width="14.5703125" customWidth="1"/>
    <col min="18" max="18" width="13.5703125" customWidth="1"/>
    <col min="19" max="19" width="12.7109375" customWidth="1"/>
    <col min="20" max="20" width="11.7109375" customWidth="1"/>
    <col min="21" max="21" width="35.42578125" style="1" customWidth="1"/>
  </cols>
  <sheetData>
    <row r="1" spans="1:21" s="12" customFormat="1" ht="57.75" customHeight="1" x14ac:dyDescent="0.25">
      <c r="A1" s="10" t="s">
        <v>27</v>
      </c>
      <c r="B1" s="11" t="s">
        <v>0</v>
      </c>
      <c r="C1" s="10" t="s">
        <v>1</v>
      </c>
      <c r="D1" s="11" t="s">
        <v>4</v>
      </c>
      <c r="E1" s="30"/>
      <c r="F1" s="11" t="s">
        <v>5</v>
      </c>
      <c r="G1" s="11" t="s">
        <v>6</v>
      </c>
      <c r="H1" s="36" t="s">
        <v>26</v>
      </c>
      <c r="I1" s="10" t="s">
        <v>13</v>
      </c>
      <c r="J1" s="10" t="s">
        <v>14</v>
      </c>
      <c r="K1" s="26" t="s">
        <v>15</v>
      </c>
      <c r="L1" s="10" t="s">
        <v>16</v>
      </c>
      <c r="M1" s="30" t="s">
        <v>17</v>
      </c>
      <c r="N1" s="30" t="s">
        <v>25</v>
      </c>
      <c r="O1" s="30" t="s">
        <v>18</v>
      </c>
      <c r="P1" s="30" t="s">
        <v>19</v>
      </c>
      <c r="Q1" s="30" t="s">
        <v>20</v>
      </c>
      <c r="R1" s="30" t="s">
        <v>21</v>
      </c>
      <c r="S1" s="30" t="s">
        <v>22</v>
      </c>
      <c r="T1" s="30" t="s">
        <v>23</v>
      </c>
      <c r="U1" s="24"/>
    </row>
    <row r="2" spans="1:21" s="29" customFormat="1" ht="28.5" customHeight="1" x14ac:dyDescent="0.25">
      <c r="A2" s="32" t="s">
        <v>3</v>
      </c>
      <c r="B2" s="33">
        <v>23.28</v>
      </c>
      <c r="C2" s="32">
        <v>50</v>
      </c>
      <c r="D2" s="33">
        <f>B2*C2</f>
        <v>1164</v>
      </c>
      <c r="E2" s="33"/>
      <c r="F2" s="33">
        <v>21.29</v>
      </c>
      <c r="G2" s="34">
        <f>F2-B2</f>
        <v>-1.990000000000002</v>
      </c>
      <c r="H2" s="35">
        <f>(G2 * C2) - (F2 * C2 * 0.0025)</f>
        <v>-102.16125000000009</v>
      </c>
      <c r="I2" s="38"/>
      <c r="J2" s="38"/>
      <c r="K2" s="39"/>
      <c r="L2" s="13" t="s">
        <v>24</v>
      </c>
      <c r="M2" s="49">
        <v>1.02</v>
      </c>
      <c r="N2" s="50">
        <v>30</v>
      </c>
      <c r="O2" s="27" t="b">
        <v>0</v>
      </c>
      <c r="P2" s="27">
        <v>0.95</v>
      </c>
      <c r="Q2" s="27" t="b">
        <v>0</v>
      </c>
      <c r="R2" s="27">
        <v>0.01</v>
      </c>
      <c r="S2" s="27">
        <v>5</v>
      </c>
      <c r="T2" s="27">
        <v>30</v>
      </c>
      <c r="U2" s="28"/>
    </row>
    <row r="3" spans="1:21" s="29" customFormat="1" ht="28.5" customHeight="1" x14ac:dyDescent="0.25">
      <c r="A3" s="13" t="s">
        <v>7</v>
      </c>
      <c r="B3" s="14">
        <v>165.89</v>
      </c>
      <c r="C3" s="13">
        <v>12</v>
      </c>
      <c r="D3" s="33">
        <f t="shared" ref="D3:D9" si="0">B3*C3</f>
        <v>1990.6799999999998</v>
      </c>
      <c r="E3" s="33"/>
      <c r="F3" s="14">
        <v>149.52000000000001</v>
      </c>
      <c r="G3" s="34">
        <f t="shared" ref="G3:G9" si="1">F3-B3</f>
        <v>-16.369999999999976</v>
      </c>
      <c r="H3" s="35">
        <f t="shared" ref="H3:H9" si="2">(G3 * C3) - (F3 * C3 * 0.0025)</f>
        <v>-200.92559999999972</v>
      </c>
      <c r="I3" s="38"/>
      <c r="J3" s="38"/>
      <c r="K3" s="39"/>
      <c r="L3" s="13" t="s">
        <v>24</v>
      </c>
      <c r="M3" s="27">
        <v>1.01</v>
      </c>
      <c r="N3" s="50">
        <v>30</v>
      </c>
      <c r="O3" s="27" t="b">
        <v>0</v>
      </c>
      <c r="P3" s="27">
        <v>0.95</v>
      </c>
      <c r="Q3" s="27" t="b">
        <v>0</v>
      </c>
      <c r="R3" s="27">
        <v>0.01</v>
      </c>
      <c r="S3" s="27">
        <v>5</v>
      </c>
      <c r="T3" s="27">
        <v>30</v>
      </c>
      <c r="U3" s="28"/>
    </row>
    <row r="4" spans="1:21" s="29" customFormat="1" ht="28.5" customHeight="1" x14ac:dyDescent="0.25">
      <c r="A4" s="15" t="s">
        <v>8</v>
      </c>
      <c r="B4" s="16">
        <v>68.09</v>
      </c>
      <c r="C4" s="15">
        <v>20</v>
      </c>
      <c r="D4" s="33">
        <f t="shared" si="0"/>
        <v>1361.8000000000002</v>
      </c>
      <c r="E4" s="33"/>
      <c r="F4" s="16">
        <v>61.36</v>
      </c>
      <c r="G4" s="34">
        <f t="shared" si="1"/>
        <v>-6.730000000000004</v>
      </c>
      <c r="H4" s="35">
        <f t="shared" si="2"/>
        <v>-137.66800000000009</v>
      </c>
      <c r="I4" s="38"/>
      <c r="J4" s="38"/>
      <c r="K4" s="39"/>
      <c r="L4" s="13" t="s">
        <v>24</v>
      </c>
      <c r="M4" s="27">
        <v>1.01</v>
      </c>
      <c r="N4" s="50">
        <v>30</v>
      </c>
      <c r="O4" s="27" t="b">
        <v>0</v>
      </c>
      <c r="P4" s="27">
        <v>0.95</v>
      </c>
      <c r="Q4" s="27" t="b">
        <v>0</v>
      </c>
      <c r="R4" s="27">
        <v>0.01</v>
      </c>
      <c r="S4" s="27">
        <v>5</v>
      </c>
      <c r="T4" s="27">
        <v>30</v>
      </c>
      <c r="U4" s="28"/>
    </row>
    <row r="5" spans="1:21" s="29" customFormat="1" ht="28.5" customHeight="1" x14ac:dyDescent="0.25">
      <c r="A5" s="13" t="s">
        <v>9</v>
      </c>
      <c r="B5" s="14">
        <v>2347.9299999999998</v>
      </c>
      <c r="C5" s="13">
        <v>1</v>
      </c>
      <c r="D5" s="33">
        <f t="shared" si="0"/>
        <v>2347.9299999999998</v>
      </c>
      <c r="E5" s="33"/>
      <c r="F5" s="14">
        <v>2241.02</v>
      </c>
      <c r="G5" s="34">
        <f t="shared" si="1"/>
        <v>-106.90999999999985</v>
      </c>
      <c r="H5" s="35">
        <f t="shared" si="2"/>
        <v>-112.51254999999985</v>
      </c>
      <c r="I5" s="38"/>
      <c r="J5" s="38"/>
      <c r="K5" s="39"/>
      <c r="L5" s="13" t="s">
        <v>24</v>
      </c>
      <c r="M5" s="27">
        <v>1.01</v>
      </c>
      <c r="N5" s="50">
        <v>30</v>
      </c>
      <c r="O5" s="27" t="b">
        <v>0</v>
      </c>
      <c r="P5" s="27">
        <v>0.95</v>
      </c>
      <c r="Q5" s="49" t="b">
        <v>1</v>
      </c>
      <c r="R5" s="49">
        <v>5.0000000000000001E-3</v>
      </c>
      <c r="S5" s="27">
        <v>20</v>
      </c>
      <c r="T5" s="27">
        <v>30</v>
      </c>
      <c r="U5" s="28"/>
    </row>
    <row r="6" spans="1:21" s="29" customFormat="1" ht="28.5" customHeight="1" x14ac:dyDescent="0.25">
      <c r="A6" s="13" t="s">
        <v>10</v>
      </c>
      <c r="B6" s="14">
        <v>67362.12</v>
      </c>
      <c r="C6" s="13">
        <v>0.05</v>
      </c>
      <c r="D6" s="33">
        <f t="shared" si="0"/>
        <v>3368.1059999999998</v>
      </c>
      <c r="E6" s="33"/>
      <c r="F6" s="14">
        <v>62999.15</v>
      </c>
      <c r="G6" s="34">
        <f t="shared" si="1"/>
        <v>-4362.9699999999939</v>
      </c>
      <c r="H6" s="35">
        <f t="shared" si="2"/>
        <v>-226.02339374999971</v>
      </c>
      <c r="I6" s="38"/>
      <c r="J6" s="38"/>
      <c r="K6" s="39"/>
      <c r="L6" s="13" t="s">
        <v>24</v>
      </c>
      <c r="M6" s="27">
        <v>1.01</v>
      </c>
      <c r="N6" s="50">
        <v>30</v>
      </c>
      <c r="O6" s="27" t="b">
        <v>0</v>
      </c>
      <c r="P6" s="27">
        <v>0.95</v>
      </c>
      <c r="Q6" s="27" t="b">
        <v>0</v>
      </c>
      <c r="R6" s="27">
        <v>0.01</v>
      </c>
      <c r="S6" s="27">
        <v>30</v>
      </c>
      <c r="T6" s="49">
        <v>100</v>
      </c>
      <c r="U6" s="28"/>
    </row>
    <row r="7" spans="1:21" s="29" customFormat="1" ht="28.5" customHeight="1" x14ac:dyDescent="0.25">
      <c r="A7" s="43" t="s">
        <v>2</v>
      </c>
      <c r="B7" s="47">
        <v>0</v>
      </c>
      <c r="C7" s="43">
        <v>0</v>
      </c>
      <c r="D7" s="44">
        <f t="shared" si="0"/>
        <v>0</v>
      </c>
      <c r="E7" s="44"/>
      <c r="F7" s="47">
        <v>0.46839999999999998</v>
      </c>
      <c r="G7" s="48">
        <f t="shared" si="1"/>
        <v>0.46839999999999998</v>
      </c>
      <c r="H7" s="44">
        <f t="shared" si="2"/>
        <v>0</v>
      </c>
      <c r="I7" s="45"/>
      <c r="J7" s="45"/>
      <c r="K7" s="46"/>
      <c r="L7" s="43" t="s">
        <v>24</v>
      </c>
      <c r="M7" s="49">
        <v>1.02</v>
      </c>
      <c r="N7" s="50">
        <v>30</v>
      </c>
      <c r="O7" s="27" t="b">
        <v>0</v>
      </c>
      <c r="P7" s="27">
        <v>0.95</v>
      </c>
      <c r="Q7" s="27" t="b">
        <v>0</v>
      </c>
      <c r="R7" s="27">
        <v>0.01</v>
      </c>
      <c r="S7" s="27">
        <v>4</v>
      </c>
      <c r="T7" s="27">
        <v>30</v>
      </c>
      <c r="U7" s="28"/>
    </row>
    <row r="8" spans="1:21" s="29" customFormat="1" ht="28.5" customHeight="1" x14ac:dyDescent="0.25">
      <c r="A8" s="43" t="s">
        <v>11</v>
      </c>
      <c r="B8" s="47">
        <v>0</v>
      </c>
      <c r="C8" s="43">
        <v>0</v>
      </c>
      <c r="D8" s="44">
        <f t="shared" si="0"/>
        <v>0</v>
      </c>
      <c r="E8" s="44"/>
      <c r="F8" s="47">
        <v>0.3009</v>
      </c>
      <c r="G8" s="48">
        <f t="shared" si="1"/>
        <v>0.3009</v>
      </c>
      <c r="H8" s="44">
        <f t="shared" si="2"/>
        <v>0</v>
      </c>
      <c r="I8" s="45"/>
      <c r="J8" s="45"/>
      <c r="K8" s="46"/>
      <c r="L8" s="43" t="s">
        <v>24</v>
      </c>
      <c r="M8" s="49">
        <v>1.02</v>
      </c>
      <c r="N8" s="50">
        <v>30</v>
      </c>
      <c r="O8" s="27" t="b">
        <v>0</v>
      </c>
      <c r="P8" s="27">
        <v>0.95</v>
      </c>
      <c r="Q8" s="27" t="b">
        <v>0</v>
      </c>
      <c r="R8" s="27">
        <v>0.01</v>
      </c>
      <c r="S8" s="27">
        <v>4</v>
      </c>
      <c r="T8" s="27">
        <v>30</v>
      </c>
      <c r="U8" s="28"/>
    </row>
    <row r="9" spans="1:21" s="29" customFormat="1" ht="28.5" customHeight="1" x14ac:dyDescent="0.25">
      <c r="A9" s="13" t="s">
        <v>12</v>
      </c>
      <c r="B9" s="14">
        <v>3.86</v>
      </c>
      <c r="C9" s="13">
        <v>1000</v>
      </c>
      <c r="D9" s="14">
        <f t="shared" si="0"/>
        <v>3860</v>
      </c>
      <c r="E9" s="14"/>
      <c r="F9" s="14">
        <v>3.48</v>
      </c>
      <c r="G9" s="21">
        <f t="shared" si="1"/>
        <v>-0.37999999999999989</v>
      </c>
      <c r="H9" s="35">
        <f t="shared" si="2"/>
        <v>-388.69999999999987</v>
      </c>
      <c r="I9" s="38"/>
      <c r="J9" s="38"/>
      <c r="K9" s="39"/>
      <c r="L9" s="13" t="s">
        <v>24</v>
      </c>
      <c r="M9" s="49">
        <v>1.02</v>
      </c>
      <c r="N9" s="50">
        <v>28</v>
      </c>
      <c r="O9" s="27" t="b">
        <v>0</v>
      </c>
      <c r="P9" s="27">
        <v>0.95</v>
      </c>
      <c r="Q9" s="27" t="b">
        <v>0</v>
      </c>
      <c r="R9" s="27">
        <v>0.01</v>
      </c>
      <c r="S9" s="27">
        <v>5</v>
      </c>
      <c r="T9" s="27">
        <v>30</v>
      </c>
      <c r="U9" s="28"/>
    </row>
    <row r="10" spans="1:21" ht="28.5" customHeight="1" x14ac:dyDescent="0.25">
      <c r="A10" s="7"/>
      <c r="B10" s="8"/>
      <c r="C10" s="7"/>
      <c r="D10" s="8"/>
      <c r="E10" s="7"/>
      <c r="F10" s="9"/>
      <c r="G10" s="8"/>
      <c r="H10" s="19"/>
    </row>
    <row r="11" spans="1:21" ht="28.5" customHeight="1" x14ac:dyDescent="0.25">
      <c r="A11" s="5"/>
      <c r="B11" s="4"/>
      <c r="C11" s="5"/>
      <c r="D11" s="17">
        <f>SUM(D2:D10)</f>
        <v>14092.516</v>
      </c>
      <c r="E11" s="23"/>
      <c r="F11" s="18"/>
      <c r="G11" s="17"/>
      <c r="H11" s="17">
        <f>SUM(H2:H9)</f>
        <v>-1167.9907937499993</v>
      </c>
      <c r="I11" s="20">
        <f>H11/D11</f>
        <v>-8.288021768078882E-2</v>
      </c>
      <c r="J11" s="40"/>
      <c r="K11" s="25"/>
      <c r="L11" s="23" t="str">
        <f>COUNTIF(L2:L9,"Started") &amp; "/" &amp; COUNTA(L2:L9)</f>
        <v>8/8</v>
      </c>
      <c r="M11" s="3"/>
      <c r="N11" s="3"/>
      <c r="O11" s="3"/>
      <c r="P11" s="3"/>
      <c r="Q11" s="3"/>
      <c r="R11" s="22"/>
      <c r="S11" s="17"/>
      <c r="T11" s="3"/>
    </row>
    <row r="12" spans="1:21" ht="28.5" customHeight="1" x14ac:dyDescent="0.25">
      <c r="G12" s="37"/>
    </row>
    <row r="13" spans="1:21" ht="28.5" customHeight="1" x14ac:dyDescent="0.25">
      <c r="G13" s="37"/>
      <c r="J13" s="41"/>
      <c r="K13" s="31"/>
    </row>
    <row r="14" spans="1:21" ht="28.5" customHeight="1" x14ac:dyDescent="0.25">
      <c r="G14" s="37"/>
    </row>
    <row r="15" spans="1:21" ht="28.5" customHeight="1" x14ac:dyDescent="0.25">
      <c r="G15" s="42"/>
    </row>
    <row r="16" spans="1:21" ht="28.5" customHeight="1" x14ac:dyDescent="0.25">
      <c r="G16" s="37"/>
    </row>
    <row r="17" spans="7:7" ht="28.5" customHeight="1" x14ac:dyDescent="0.25">
      <c r="G17" s="37"/>
    </row>
    <row r="18" spans="7:7" ht="28.5" customHeight="1" x14ac:dyDescent="0.25">
      <c r="G18" s="37"/>
    </row>
    <row r="19" spans="7:7" ht="28.5" customHeight="1" x14ac:dyDescent="0.25">
      <c r="G19" s="37"/>
    </row>
  </sheetData>
  <sheetProtection formatCells="0" formatColumns="0" formatRows="0" selectLockedCells="1"/>
  <conditionalFormatting sqref="I11">
    <cfRule type="cellIs" dxfId="0" priority="3" operator="greater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SellBotAVAX">
                <anchor moveWithCells="1" sizeWithCells="1">
                  <from>
                    <xdr:col>8</xdr:col>
                    <xdr:colOff>66675</xdr:colOff>
                    <xdr:row>1</xdr:row>
                    <xdr:rowOff>28575</xdr:rowOff>
                  </from>
                  <to>
                    <xdr:col>8</xdr:col>
                    <xdr:colOff>876300</xdr:colOff>
                    <xdr:row>1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SellBotSOLANA">
                <anchor moveWithCells="1" sizeWithCells="1">
                  <from>
                    <xdr:col>8</xdr:col>
                    <xdr:colOff>76200</xdr:colOff>
                    <xdr:row>2</xdr:row>
                    <xdr:rowOff>38100</xdr:rowOff>
                  </from>
                  <to>
                    <xdr:col>8</xdr:col>
                    <xdr:colOff>885825</xdr:colOff>
                    <xdr:row>2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Button 6">
              <controlPr defaultSize="0" print="0" autoFill="0" autoPict="0" macro="[0]!SellBotLITECOIN">
                <anchor moveWithCells="1" sizeWithCells="1">
                  <from>
                    <xdr:col>8</xdr:col>
                    <xdr:colOff>76200</xdr:colOff>
                    <xdr:row>3</xdr:row>
                    <xdr:rowOff>28575</xdr:rowOff>
                  </from>
                  <to>
                    <xdr:col>8</xdr:col>
                    <xdr:colOff>885825</xdr:colOff>
                    <xdr:row>3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Button 7">
              <controlPr defaultSize="0" print="0" autoFill="0" autoPict="0" macro="[0]!SellBotETHEREUM">
                <anchor moveWithCells="1" sizeWithCells="1">
                  <from>
                    <xdr:col>8</xdr:col>
                    <xdr:colOff>76200</xdr:colOff>
                    <xdr:row>4</xdr:row>
                    <xdr:rowOff>28575</xdr:rowOff>
                  </from>
                  <to>
                    <xdr:col>8</xdr:col>
                    <xdr:colOff>885825</xdr:colOff>
                    <xdr:row>4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Button 8">
              <controlPr defaultSize="0" print="0" autoFill="0" autoPict="0" macro="[0]!SellBotBITCOIN">
                <anchor moveWithCells="1" sizeWithCells="1">
                  <from>
                    <xdr:col>8</xdr:col>
                    <xdr:colOff>76200</xdr:colOff>
                    <xdr:row>5</xdr:row>
                    <xdr:rowOff>38100</xdr:rowOff>
                  </from>
                  <to>
                    <xdr:col>8</xdr:col>
                    <xdr:colOff>885825</xdr:colOff>
                    <xdr:row>5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Button 9">
              <controlPr defaultSize="0" print="0" autoFill="0" autoPict="0" macro="[0]!SellBotXRP">
                <anchor moveWithCells="1" sizeWithCells="1">
                  <from>
                    <xdr:col>8</xdr:col>
                    <xdr:colOff>76200</xdr:colOff>
                    <xdr:row>6</xdr:row>
                    <xdr:rowOff>38100</xdr:rowOff>
                  </from>
                  <to>
                    <xdr:col>8</xdr:col>
                    <xdr:colOff>885825</xdr:colOff>
                    <xdr:row>6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0" name="Button 10">
              <controlPr defaultSize="0" print="0" autoFill="0" autoPict="0" macro="[0]!SellBotCARDANO">
                <anchor moveWithCells="1" sizeWithCells="1">
                  <from>
                    <xdr:col>8</xdr:col>
                    <xdr:colOff>76200</xdr:colOff>
                    <xdr:row>7</xdr:row>
                    <xdr:rowOff>38100</xdr:rowOff>
                  </from>
                  <to>
                    <xdr:col>8</xdr:col>
                    <xdr:colOff>885825</xdr:colOff>
                    <xdr:row>7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1" name="Button 11">
              <controlPr defaultSize="0" print="0" autoFill="0" autoPict="0" macro="[0]!SellBotPOLKADOT">
                <anchor moveWithCells="1" sizeWithCells="1">
                  <from>
                    <xdr:col>8</xdr:col>
                    <xdr:colOff>66675</xdr:colOff>
                    <xdr:row>8</xdr:row>
                    <xdr:rowOff>28575</xdr:rowOff>
                  </from>
                  <to>
                    <xdr:col>8</xdr:col>
                    <xdr:colOff>876300</xdr:colOff>
                    <xdr:row>8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2" name="Button 13">
              <controlPr defaultSize="0" print="0" autoFill="0" autoPict="0" macro="[0]!PauseBotAVAX">
                <anchor moveWithCells="1" sizeWithCells="1">
                  <from>
                    <xdr:col>9</xdr:col>
                    <xdr:colOff>142875</xdr:colOff>
                    <xdr:row>1</xdr:row>
                    <xdr:rowOff>47625</xdr:rowOff>
                  </from>
                  <to>
                    <xdr:col>9</xdr:col>
                    <xdr:colOff>1009650</xdr:colOff>
                    <xdr:row>1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3" name="Button 14">
              <controlPr defaultSize="0" print="0" autoFill="0" autoPict="0" macro="[0]!PauseBotSOLANA">
                <anchor moveWithCells="1" sizeWithCells="1">
                  <from>
                    <xdr:col>9</xdr:col>
                    <xdr:colOff>152400</xdr:colOff>
                    <xdr:row>2</xdr:row>
                    <xdr:rowOff>38100</xdr:rowOff>
                  </from>
                  <to>
                    <xdr:col>9</xdr:col>
                    <xdr:colOff>1019175</xdr:colOff>
                    <xdr:row>2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4" name="Button 15">
              <controlPr defaultSize="0" print="0" autoFill="0" autoPict="0" macro="[0]!PauseBotLITECOIN">
                <anchor moveWithCells="1" sizeWithCells="1">
                  <from>
                    <xdr:col>9</xdr:col>
                    <xdr:colOff>152400</xdr:colOff>
                    <xdr:row>3</xdr:row>
                    <xdr:rowOff>38100</xdr:rowOff>
                  </from>
                  <to>
                    <xdr:col>9</xdr:col>
                    <xdr:colOff>1019175</xdr:colOff>
                    <xdr:row>3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5" name="Button 16">
              <controlPr defaultSize="0" print="0" autoFill="0" autoPict="0" macro="[0]!PauseBotETHEREUM">
                <anchor moveWithCells="1" sizeWithCells="1">
                  <from>
                    <xdr:col>9</xdr:col>
                    <xdr:colOff>152400</xdr:colOff>
                    <xdr:row>4</xdr:row>
                    <xdr:rowOff>28575</xdr:rowOff>
                  </from>
                  <to>
                    <xdr:col>9</xdr:col>
                    <xdr:colOff>1019175</xdr:colOff>
                    <xdr:row>4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6" name="Button 17">
              <controlPr defaultSize="0" print="0" autoFill="0" autoPict="0" macro="[0]!PauseBotBITCOIN">
                <anchor moveWithCells="1" sizeWithCells="1">
                  <from>
                    <xdr:col>9</xdr:col>
                    <xdr:colOff>152400</xdr:colOff>
                    <xdr:row>5</xdr:row>
                    <xdr:rowOff>38100</xdr:rowOff>
                  </from>
                  <to>
                    <xdr:col>9</xdr:col>
                    <xdr:colOff>1019175</xdr:colOff>
                    <xdr:row>5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7" name="Button 18">
              <controlPr defaultSize="0" print="0" autoFill="0" autoPict="0" macro="[0]!PauseBotXRP">
                <anchor moveWithCells="1" sizeWithCells="1">
                  <from>
                    <xdr:col>9</xdr:col>
                    <xdr:colOff>161925</xdr:colOff>
                    <xdr:row>6</xdr:row>
                    <xdr:rowOff>28575</xdr:rowOff>
                  </from>
                  <to>
                    <xdr:col>9</xdr:col>
                    <xdr:colOff>1028700</xdr:colOff>
                    <xdr:row>6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8" name="Button 19">
              <controlPr defaultSize="0" print="0" autoFill="0" autoPict="0" macro="[0]!PauseBotCARDANO">
                <anchor moveWithCells="1" sizeWithCells="1">
                  <from>
                    <xdr:col>9</xdr:col>
                    <xdr:colOff>161925</xdr:colOff>
                    <xdr:row>7</xdr:row>
                    <xdr:rowOff>38100</xdr:rowOff>
                  </from>
                  <to>
                    <xdr:col>9</xdr:col>
                    <xdr:colOff>1028700</xdr:colOff>
                    <xdr:row>7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9" name="Button 20">
              <controlPr defaultSize="0" print="0" autoFill="0" autoPict="0" macro="[0]!PauseBotPOLKADOT">
                <anchor moveWithCells="1" sizeWithCells="1">
                  <from>
                    <xdr:col>9</xdr:col>
                    <xdr:colOff>171450</xdr:colOff>
                    <xdr:row>8</xdr:row>
                    <xdr:rowOff>38100</xdr:rowOff>
                  </from>
                  <to>
                    <xdr:col>9</xdr:col>
                    <xdr:colOff>1038225</xdr:colOff>
                    <xdr:row>8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20" name="Button 21">
              <controlPr defaultSize="0" print="0" autoFill="0" autoPict="0" macro="[0]!StartBotSOLANA">
                <anchor moveWithCells="1" sizeWithCells="1">
                  <from>
                    <xdr:col>10</xdr:col>
                    <xdr:colOff>76200</xdr:colOff>
                    <xdr:row>2</xdr:row>
                    <xdr:rowOff>38100</xdr:rowOff>
                  </from>
                  <to>
                    <xdr:col>10</xdr:col>
                    <xdr:colOff>942975</xdr:colOff>
                    <xdr:row>2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21" name="Button 22">
              <controlPr defaultSize="0" print="0" autoFill="0" autoPict="0" macro="[0]!StartBotAVAX">
                <anchor moveWithCells="1" sizeWithCells="1">
                  <from>
                    <xdr:col>10</xdr:col>
                    <xdr:colOff>76200</xdr:colOff>
                    <xdr:row>1</xdr:row>
                    <xdr:rowOff>38100</xdr:rowOff>
                  </from>
                  <to>
                    <xdr:col>10</xdr:col>
                    <xdr:colOff>942975</xdr:colOff>
                    <xdr:row>1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22" name="Button 23">
              <controlPr defaultSize="0" print="0" autoFill="0" autoPict="0" macro="[0]!StartBotLITECOIN">
                <anchor moveWithCells="1" sizeWithCells="1">
                  <from>
                    <xdr:col>10</xdr:col>
                    <xdr:colOff>85725</xdr:colOff>
                    <xdr:row>3</xdr:row>
                    <xdr:rowOff>28575</xdr:rowOff>
                  </from>
                  <to>
                    <xdr:col>10</xdr:col>
                    <xdr:colOff>952500</xdr:colOff>
                    <xdr:row>3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3" name="Button 24">
              <controlPr defaultSize="0" print="0" autoFill="0" autoPict="0" macro="[0]!StartBotBITCOIN">
                <anchor moveWithCells="1" sizeWithCells="1">
                  <from>
                    <xdr:col>10</xdr:col>
                    <xdr:colOff>95250</xdr:colOff>
                    <xdr:row>5</xdr:row>
                    <xdr:rowOff>28575</xdr:rowOff>
                  </from>
                  <to>
                    <xdr:col>10</xdr:col>
                    <xdr:colOff>962025</xdr:colOff>
                    <xdr:row>5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4" name="Button 25">
              <controlPr defaultSize="0" print="0" autoFill="0" autoPict="0" macro="[0]!StartBotXRP">
                <anchor moveWithCells="1" sizeWithCells="1">
                  <from>
                    <xdr:col>10</xdr:col>
                    <xdr:colOff>104775</xdr:colOff>
                    <xdr:row>6</xdr:row>
                    <xdr:rowOff>28575</xdr:rowOff>
                  </from>
                  <to>
                    <xdr:col>10</xdr:col>
                    <xdr:colOff>971550</xdr:colOff>
                    <xdr:row>6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5" name="Button 26">
              <controlPr defaultSize="0" print="0" autoFill="0" autoPict="0" macro="[0]!StartBotETHEREUM">
                <anchor moveWithCells="1" sizeWithCells="1">
                  <from>
                    <xdr:col>10</xdr:col>
                    <xdr:colOff>95250</xdr:colOff>
                    <xdr:row>4</xdr:row>
                    <xdr:rowOff>28575</xdr:rowOff>
                  </from>
                  <to>
                    <xdr:col>10</xdr:col>
                    <xdr:colOff>962025</xdr:colOff>
                    <xdr:row>4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26" name="Button 27">
              <controlPr defaultSize="0" print="0" autoFill="0" autoPict="0" macro="[0]!StartBotCARDANO">
                <anchor moveWithCells="1" sizeWithCells="1">
                  <from>
                    <xdr:col>10</xdr:col>
                    <xdr:colOff>114300</xdr:colOff>
                    <xdr:row>7</xdr:row>
                    <xdr:rowOff>28575</xdr:rowOff>
                  </from>
                  <to>
                    <xdr:col>10</xdr:col>
                    <xdr:colOff>981075</xdr:colOff>
                    <xdr:row>7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27" name="Button 28">
              <controlPr defaultSize="0" print="0" autoFill="0" autoPict="0" macro="[0]!StartBotPOLKADOT">
                <anchor moveWithCells="1" sizeWithCells="1">
                  <from>
                    <xdr:col>10</xdr:col>
                    <xdr:colOff>123825</xdr:colOff>
                    <xdr:row>8</xdr:row>
                    <xdr:rowOff>38100</xdr:rowOff>
                  </from>
                  <to>
                    <xdr:col>10</xdr:col>
                    <xdr:colOff>990600</xdr:colOff>
                    <xdr:row>8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makis</dc:creator>
  <cp:lastModifiedBy>makis</cp:lastModifiedBy>
  <dcterms:created xsi:type="dcterms:W3CDTF">2024-10-29T15:11:12Z</dcterms:created>
  <dcterms:modified xsi:type="dcterms:W3CDTF">2024-11-04T16:00:05Z</dcterms:modified>
</cp:coreProperties>
</file>